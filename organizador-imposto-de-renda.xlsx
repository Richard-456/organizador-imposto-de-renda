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Documents\Galo\organizador-imposto-de-renda\"/>
    </mc:Choice>
  </mc:AlternateContent>
  <xr:revisionPtr revIDLastSave="0" documentId="13_ncr:1_{F7AB4170-FA52-4485-9AC9-70C96148609D}" xr6:coauthVersionLast="46" xr6:coauthVersionMax="46" xr10:uidLastSave="{00000000-0000-0000-0000-000000000000}"/>
  <bookViews>
    <workbookView xWindow="-120" yWindow="-120" windowWidth="29040" windowHeight="15720" tabRatio="500" xr2:uid="{00000000-000D-0000-FFFF-FFFF00000000}"/>
  </bookViews>
  <sheets>
    <sheet name="INICIO" sheetId="1" r:id="rId1"/>
    <sheet name="TITULAR" sheetId="2" r:id="rId2"/>
    <sheet name="INFORMES" sheetId="3" r:id="rId3"/>
    <sheet name="NOTAS" sheetId="4" r:id="rId4"/>
    <sheet name="DESPESAS" sheetId="5" r:id="rId5"/>
    <sheet name="Planilha1" sheetId="7" r:id="rId6"/>
    <sheet name="TABELAS" sheetId="6" r:id="rId7"/>
  </sheets>
  <definedNames>
    <definedName name="bancos">TABELAS!$A$4:$A$53</definedName>
    <definedName name="categorias_despesa">TABELAS!$E$4:$E$11</definedName>
    <definedName name="categorias_rendimento">TABELAS!$C$4:$C$12</definedName>
    <definedName name="sim_nao">TABELAS!$G$4:$G$5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8" i="5" l="1"/>
  <c r="A15" i="5"/>
  <c r="A14" i="5"/>
  <c r="A13" i="5"/>
  <c r="A10" i="5"/>
  <c r="A9" i="5"/>
  <c r="A8" i="5"/>
  <c r="A7" i="5"/>
  <c r="E6" i="5"/>
  <c r="D6" i="5"/>
  <c r="A6" i="5"/>
  <c r="A18" i="4"/>
  <c r="A15" i="4"/>
  <c r="A14" i="4"/>
  <c r="A13" i="4"/>
  <c r="A10" i="4"/>
  <c r="A9" i="4"/>
  <c r="A8" i="4"/>
  <c r="A7" i="4"/>
  <c r="E6" i="4"/>
  <c r="D6" i="4"/>
  <c r="A6" i="4"/>
  <c r="A18" i="3"/>
  <c r="A15" i="3"/>
  <c r="A14" i="3"/>
  <c r="A13" i="3"/>
  <c r="A10" i="3"/>
  <c r="A9" i="3"/>
  <c r="A8" i="3"/>
  <c r="A7" i="3"/>
  <c r="D6" i="3"/>
  <c r="A6" i="3"/>
  <c r="A18" i="2"/>
  <c r="D15" i="2"/>
  <c r="D16" i="2" s="1"/>
  <c r="A15" i="2"/>
  <c r="A14" i="2"/>
  <c r="A13" i="2"/>
  <c r="A10" i="2"/>
  <c r="A9" i="2"/>
  <c r="A8" i="2"/>
  <c r="A7" i="2"/>
  <c r="A6" i="2"/>
  <c r="D20" i="1"/>
  <c r="D19" i="1"/>
  <c r="D18" i="1"/>
  <c r="A18" i="1"/>
  <c r="D17" i="1"/>
  <c r="A15" i="1"/>
  <c r="A14" i="1"/>
  <c r="D13" i="1"/>
  <c r="A13" i="1"/>
  <c r="D12" i="1"/>
  <c r="D14" i="1" s="1"/>
  <c r="D11" i="1"/>
  <c r="D10" i="1"/>
  <c r="A10" i="1"/>
  <c r="D9" i="1"/>
  <c r="A9" i="1"/>
  <c r="A8" i="1"/>
  <c r="A7" i="1"/>
  <c r="A6" i="1"/>
</calcChain>
</file>

<file path=xl/sharedStrings.xml><?xml version="1.0" encoding="utf-8"?>
<sst xmlns="http://schemas.openxmlformats.org/spreadsheetml/2006/main" count="214" uniqueCount="166">
  <si>
    <t>IR EM DIA</t>
  </si>
  <si>
    <t>PAINEL DA DECLARAÇÃO</t>
  </si>
  <si>
    <t>organizador de imposto de renda</t>
  </si>
  <si>
    <t>Resumo do que já foi preenchido. Tudo aqui é calculado a partir das outras abas.</t>
  </si>
  <si>
    <t>NAVEGAÇÃO</t>
  </si>
  <si>
    <t>ANO-CALENDÁRIO</t>
  </si>
  <si>
    <t>ANO DE REFERÊNCIA DOS LANÇAMENTOS</t>
  </si>
  <si>
    <t>RESUMO</t>
  </si>
  <si>
    <t>TITULAR</t>
  </si>
  <si>
    <t>CPF</t>
  </si>
  <si>
    <t>SALDO TOTAL EM CONTAS (31/12)</t>
  </si>
  <si>
    <t>LINKS RÁPIDOS</t>
  </si>
  <si>
    <t>RENDIMENTOS LANÇADOS NO ANO</t>
  </si>
  <si>
    <t>DESPESAS DEDUTÍVEIS LANÇADAS</t>
  </si>
  <si>
    <t>RENDIMENTOS MENOS DEDUÇÕES</t>
  </si>
  <si>
    <t>não é o imposto devido, é só a base organizada</t>
  </si>
  <si>
    <t>CONFERÊNCIA DO PREENCHIMENTO</t>
  </si>
  <si>
    <t>BANCOS INFORMADOS</t>
  </si>
  <si>
    <t>LANÇAMENTOS DE RENDIMENTO</t>
  </si>
  <si>
    <t>LANÇAMENTOS DE DESPESA</t>
  </si>
  <si>
    <t>INFORMES SEM ARQUIVO ANEXADO</t>
  </si>
  <si>
    <t>o ideal é zero antes de declarar</t>
  </si>
  <si>
    <t>Os dados preenchidos são de exemplo. Apague-os antes de usar com seus próprios números.</t>
  </si>
  <si>
    <t>1. DADOS DO TITULAR</t>
  </si>
  <si>
    <t>Preencha os dados da pessoa física. Campos amarelos são de digitação; cinzas são calculados.</t>
  </si>
  <si>
    <t>IDENTIFICAÇÃO</t>
  </si>
  <si>
    <t>NOME COMPLETO</t>
  </si>
  <si>
    <t>MARIA SOUZA DOS SANTOS</t>
  </si>
  <si>
    <t>dado de exemplo</t>
  </si>
  <si>
    <t>000.000.000-00</t>
  </si>
  <si>
    <t>texto, para não perder o zero à esquerda</t>
  </si>
  <si>
    <t>DATA DE NASCIMENTO</t>
  </si>
  <si>
    <t>1990-05-14</t>
  </si>
  <si>
    <t>TÍTULO DE ELEITOR</t>
  </si>
  <si>
    <t>000000000000</t>
  </si>
  <si>
    <t>OCUPAÇÃO PRINCIPAL</t>
  </si>
  <si>
    <t>ASSALARIADO</t>
  </si>
  <si>
    <t>CÔNJUGE</t>
  </si>
  <si>
    <t>JOÃO SOUZA DOS SANTOS</t>
  </si>
  <si>
    <t>ENDEREÇO E CONTATO</t>
  </si>
  <si>
    <t>ENDEREÇO COMPLETO</t>
  </si>
  <si>
    <t>Rua das Palmeiras, 180 - Centro - Cambuí/MG</t>
  </si>
  <si>
    <t>ENDEREÇO ABREVIADO (60 caracteres)</t>
  </si>
  <si>
    <t>corta sozinho no limite do programa da Receita</t>
  </si>
  <si>
    <t>RESTAM (caracteres)</t>
  </si>
  <si>
    <t>CEP</t>
  </si>
  <si>
    <t>37600-000</t>
  </si>
  <si>
    <t>TELEFONE</t>
  </si>
  <si>
    <t>(35) 3431-0000</t>
  </si>
  <si>
    <t>CELULAR</t>
  </si>
  <si>
    <t>(35) 99999-0000</t>
  </si>
  <si>
    <t>E-MAIL</t>
  </si>
  <si>
    <t>maria.exemplo@email.com</t>
  </si>
  <si>
    <t>SITUAÇÃO DA DECLARAÇÃO</t>
  </si>
  <si>
    <t>HOUVE ALTERAÇÃO DESDE A ENTREGA ANTERIOR</t>
  </si>
  <si>
    <t>SIM</t>
  </si>
  <si>
    <t>CÔNJUGE ENTRA COMO DEPENDENTE</t>
  </si>
  <si>
    <t>NÃO</t>
  </si>
  <si>
    <t>RESIDENTE NO EXTERIOR</t>
  </si>
  <si>
    <t>NÚMERO DE DEPENDENTES</t>
  </si>
  <si>
    <t>2. INFORMES DE RENDIMENTOS BANCÁRIOS</t>
  </si>
  <si>
    <t>Saldo de cada conta em 31/12 e o informe que comprova o valor.</t>
  </si>
  <si>
    <t>TOTAL DECLARADO EM CONTAS</t>
  </si>
  <si>
    <t>SOMA DOS SALDOS INFORMADOS</t>
  </si>
  <si>
    <t>1º BANCO</t>
  </si>
  <si>
    <t>BANCO</t>
  </si>
  <si>
    <t>336 - C6 Bank</t>
  </si>
  <si>
    <t>SALDO EM 31/12</t>
  </si>
  <si>
    <t>ARQUIVO DO INFORME</t>
  </si>
  <si>
    <t>informe_c6_2025.pdf</t>
  </si>
  <si>
    <t>nome do PDF guardado na mesma pasta</t>
  </si>
  <si>
    <t>2º BANCO</t>
  </si>
  <si>
    <t>33 - Banco Santander</t>
  </si>
  <si>
    <t>informe_santander_2025.pdf</t>
  </si>
  <si>
    <t>3º BANCO</t>
  </si>
  <si>
    <t>260 - Nubank</t>
  </si>
  <si>
    <t>informe_nubank_2025.pdf</t>
  </si>
  <si>
    <t>4º BANCO</t>
  </si>
  <si>
    <t>A lista de bancos vem do intervalo nomeado 'bancos', na aba TABELAS.</t>
  </si>
  <si>
    <t>3. RENDIMENTOS RECEBIDOS</t>
  </si>
  <si>
    <t>Todo valor que entrou no ano, mês a mês. Holerite, freela, aluguel, dividendos.</t>
  </si>
  <si>
    <t>RESUMO DOS RENDIMENTOS</t>
  </si>
  <si>
    <t>TOTAL DO ANO</t>
  </si>
  <si>
    <t>DATA</t>
  </si>
  <si>
    <t>CATEGORIA</t>
  </si>
  <si>
    <t>VALOR</t>
  </si>
  <si>
    <t>2025-01-05</t>
  </si>
  <si>
    <t>HOLERITE</t>
  </si>
  <si>
    <t>2025-02-05</t>
  </si>
  <si>
    <t>2025-02-20</t>
  </si>
  <si>
    <t>FREELANCE</t>
  </si>
  <si>
    <t>2025-03-05</t>
  </si>
  <si>
    <t>2025-03-28</t>
  </si>
  <si>
    <t>ALUGUEL RECEBIDO</t>
  </si>
  <si>
    <t>4. DESPESAS DEDUTÍVEIS</t>
  </si>
  <si>
    <t>Gastos que reduzem a base de cálculo. Guarde o recibo de cada linha.</t>
  </si>
  <si>
    <t>RESUMO DAS DEDUÇÕES</t>
  </si>
  <si>
    <t>2025-01-18</t>
  </si>
  <si>
    <t>PLANO DE SAÚDE</t>
  </si>
  <si>
    <t>2025-02-10</t>
  </si>
  <si>
    <t>EDUCAÇÃO</t>
  </si>
  <si>
    <t>2025-03-02</t>
  </si>
  <si>
    <t>SAÚDE</t>
  </si>
  <si>
    <t>TABELAS DE APOIO — alimentam as listas de validação de dados</t>
  </si>
  <si>
    <t>Cada coluna tem um intervalo nomeado com o nome do cabeçalho. É esse nome que a validação usa.</t>
  </si>
  <si>
    <t>bancos</t>
  </si>
  <si>
    <t>categorias_rendimento</t>
  </si>
  <si>
    <t>categorias_despesa</t>
  </si>
  <si>
    <t>sim_nao</t>
  </si>
  <si>
    <t>1 - Banco do Brasil</t>
  </si>
  <si>
    <t>102 - XP Investimentos CCTVM S.A.</t>
  </si>
  <si>
    <t>13º SALÁRIO</t>
  </si>
  <si>
    <t>104 - Caixa Econômica Federal</t>
  </si>
  <si>
    <t>FÉRIAS</t>
  </si>
  <si>
    <t>119 - Banco Western Union do Brasil</t>
  </si>
  <si>
    <t>PREVIDÊNCIA PRIVADA (PGBL)</t>
  </si>
  <si>
    <t>184 - Banco Itaú BBA S.A.</t>
  </si>
  <si>
    <t>PRÓ-LABORE (CNPJ)</t>
  </si>
  <si>
    <t>PENSÃO ALIMENTÍCIA</t>
  </si>
  <si>
    <t>197 - Stone Pagamentos</t>
  </si>
  <si>
    <t>DEPENDENTE</t>
  </si>
  <si>
    <t>208 - Banco BTG Pactual</t>
  </si>
  <si>
    <t>DIVIDENDOS</t>
  </si>
  <si>
    <t>LIVRO-CAIXA</t>
  </si>
  <si>
    <t>212 - Banco Original</t>
  </si>
  <si>
    <t>RENDIMENTO DE APLICAÇÃO</t>
  </si>
  <si>
    <t>OUTROS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</si>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</sst>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6"/>
      <color rgb="FF16222A"/>
      <name val="Arial"/>
      <charset val="1"/>
    </font>
    <font>
      <sz val="8"/>
      <color rgb="FF9BB0BD"/>
      <name val="Arial"/>
      <charset val="1"/>
    </font>
    <font>
      <sz val="9"/>
      <color rgb="FF6B7B86"/>
      <name val="Arial"/>
      <charset val="1"/>
    </font>
    <font>
      <b/>
      <sz val="8"/>
      <color rgb="FF7C94A3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0000FF"/>
      <name val="Arial"/>
      <charset val="1"/>
    </font>
    <font>
      <sz val="10"/>
      <color rgb="FFFFFFFF"/>
      <name val="Arial"/>
      <charset val="1"/>
    </font>
    <font>
      <b/>
      <sz val="10"/>
      <color rgb="FF000000"/>
      <name val="Arial"/>
      <charset val="1"/>
    </font>
    <font>
      <u/>
      <sz val="9"/>
      <color rgb="FF8FD6C4"/>
      <name val="Arial"/>
      <charset val="1"/>
    </font>
    <font>
      <i/>
      <sz val="8"/>
      <color rgb="FF8A8A8A"/>
      <name val="Arial"/>
      <charset val="1"/>
    </font>
    <font>
      <u/>
      <sz val="8"/>
      <color rgb="FF7C94A3"/>
      <name val="Arial"/>
      <charset val="1"/>
    </font>
    <font>
      <b/>
      <sz val="11"/>
      <color rgb="FF16222A"/>
      <name val="Arial"/>
      <charset val="1"/>
    </font>
    <font>
      <b/>
      <sz val="13"/>
      <color rgb="FF1F7A63"/>
      <name val="Arial"/>
      <charset val="1"/>
    </font>
    <font>
      <i/>
      <sz val="9"/>
      <color rgb="FF8A8A8A"/>
      <name val="Arial"/>
      <charset val="1"/>
    </font>
    <font>
      <b/>
      <sz val="12"/>
      <color rgb="FF1F7A63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2" fillId="0" borderId="0" xfId="0" applyFont="1"/>
    <xf numFmtId="0" fontId="7" fillId="0" borderId="1" xfId="0" applyFont="1" applyBorder="1" applyAlignment="1">
      <alignment vertical="center" indent="1"/>
    </xf>
    <xf numFmtId="0" fontId="8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12" fillId="0" borderId="0" xfId="0" applyFont="1" applyAlignment="1">
      <alignment vertical="center" indent="1"/>
    </xf>
    <xf numFmtId="0" fontId="12" fillId="0" borderId="0" xfId="0" applyFont="1"/>
    <xf numFmtId="0" fontId="14" fillId="0" borderId="1" xfId="0" applyFont="1" applyBorder="1" applyAlignment="1">
      <alignment vertical="center" indent="1"/>
    </xf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7" fillId="0" borderId="0" xfId="0" applyFont="1"/>
    <xf numFmtId="0" fontId="6" fillId="0" borderId="0" xfId="0" applyFont="1" applyAlignment="1">
      <alignment horizontal="center"/>
    </xf>
    <xf numFmtId="0" fontId="18" fillId="0" borderId="1" xfId="0" applyFont="1" applyBorder="1"/>
    <xf numFmtId="0" fontId="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0" fillId="2" borderId="0" xfId="0" applyFill="1"/>
    <xf numFmtId="0" fontId="5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 vertical="center"/>
    </xf>
    <xf numFmtId="0" fontId="13" fillId="2" borderId="0" xfId="0" applyFont="1" applyFill="1"/>
    <xf numFmtId="0" fontId="6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/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63"/>
      <rgbColor rgb="FFBFBFBF"/>
      <rgbColor rgb="FF8A8A8A"/>
      <rgbColor rgb="FF9BB0BD"/>
      <rgbColor rgb="FF993366"/>
      <rgbColor rgb="FFFFF7DC"/>
      <rgbColor rgb="FFE6F2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8FD6C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B86"/>
      <rgbColor rgb="FF7C94A3"/>
      <rgbColor rgb="FF223240"/>
      <rgbColor rgb="FF339966"/>
      <rgbColor rgb="FF1622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showGridLines="0" showRowColHeaders="0" tabSelected="1" zoomScaleNormal="100" workbookViewId="0">
      <selection activeCell="C28" sqref="C28"/>
    </sheetView>
  </sheetViews>
  <sheetFormatPr defaultColWidth="8.7109375" defaultRowHeight="15" x14ac:dyDescent="0.25"/>
  <cols>
    <col min="1" max="1" width="28" customWidth="1"/>
    <col min="2" max="2" width="2" customWidth="1"/>
    <col min="3" max="3" width="38" customWidth="1"/>
    <col min="4" max="4" width="30" customWidth="1"/>
    <col min="5" max="5" width="22" customWidth="1"/>
    <col min="6" max="6" width="2" customWidth="1"/>
  </cols>
  <sheetData>
    <row r="1" spans="1:5" x14ac:dyDescent="0.25">
      <c r="A1" s="17"/>
    </row>
    <row r="2" spans="1:5" ht="30" customHeight="1" x14ac:dyDescent="0.3">
      <c r="A2" s="23" t="s">
        <v>0</v>
      </c>
      <c r="B2" s="24"/>
      <c r="C2" s="2" t="s">
        <v>1</v>
      </c>
      <c r="D2" s="2"/>
      <c r="E2" s="2"/>
    </row>
    <row r="3" spans="1:5" ht="18" customHeight="1" x14ac:dyDescent="0.25">
      <c r="A3" s="22" t="s">
        <v>2</v>
      </c>
      <c r="C3" s="1" t="s">
        <v>3</v>
      </c>
      <c r="D3" s="1"/>
      <c r="E3" s="1"/>
    </row>
    <row r="4" spans="1:5" x14ac:dyDescent="0.25">
      <c r="A4" s="17"/>
    </row>
    <row r="5" spans="1:5" ht="19.5" customHeight="1" x14ac:dyDescent="0.25">
      <c r="A5" s="18" t="s">
        <v>4</v>
      </c>
      <c r="C5" s="21" t="s">
        <v>5</v>
      </c>
      <c r="D5" s="21"/>
      <c r="E5" s="21"/>
    </row>
    <row r="6" spans="1:5" ht="18" customHeight="1" x14ac:dyDescent="0.25">
      <c r="A6" s="15" t="str">
        <f>HYPERLINK("#INICIO!C3","  ▸ Painel")</f>
        <v xml:space="preserve">  ▸ Painel</v>
      </c>
      <c r="C6" s="3" t="s">
        <v>6</v>
      </c>
      <c r="D6" s="4">
        <v>2025</v>
      </c>
    </row>
    <row r="7" spans="1:5" ht="19.5" customHeight="1" x14ac:dyDescent="0.25">
      <c r="A7" s="16" t="str">
        <f>HYPERLINK("#TITULAR!C3","    Titular")</f>
        <v xml:space="preserve">    Titular</v>
      </c>
    </row>
    <row r="8" spans="1:5" ht="19.5" customHeight="1" x14ac:dyDescent="0.25">
      <c r="A8" s="16" t="str">
        <f>HYPERLINK("#INFORMES!C3","    Informes")</f>
        <v xml:space="preserve">    Informes</v>
      </c>
      <c r="C8" s="21" t="s">
        <v>7</v>
      </c>
      <c r="D8" s="21"/>
      <c r="E8" s="21"/>
    </row>
    <row r="9" spans="1:5" ht="18" customHeight="1" x14ac:dyDescent="0.25">
      <c r="A9" s="16" t="str">
        <f>HYPERLINK("#NOTAS!C3","    Rendimentos")</f>
        <v xml:space="preserve">    Rendimentos</v>
      </c>
      <c r="C9" s="3" t="s">
        <v>8</v>
      </c>
      <c r="D9" s="5" t="str">
        <f>TITULAR!D6</f>
        <v>MARIA SOUZA DOS SANTOS</v>
      </c>
    </row>
    <row r="10" spans="1:5" ht="18" customHeight="1" x14ac:dyDescent="0.25">
      <c r="A10" s="16" t="str">
        <f>HYPERLINK("#DESPESAS!C3","    Despesas")</f>
        <v xml:space="preserve">    Despesas</v>
      </c>
      <c r="C10" s="3" t="s">
        <v>9</v>
      </c>
      <c r="D10" s="5" t="str">
        <f>TITULAR!D7</f>
        <v>000.000.000-00</v>
      </c>
    </row>
    <row r="11" spans="1:5" ht="18" customHeight="1" x14ac:dyDescent="0.25">
      <c r="A11" s="17"/>
      <c r="C11" s="3" t="s">
        <v>10</v>
      </c>
      <c r="D11" s="5">
        <f>INFORMES!D6</f>
        <v>20574.020000000004</v>
      </c>
    </row>
    <row r="12" spans="1:5" ht="18" customHeight="1" x14ac:dyDescent="0.25">
      <c r="A12" s="18" t="s">
        <v>11</v>
      </c>
      <c r="C12" s="3" t="s">
        <v>12</v>
      </c>
      <c r="D12" s="5">
        <f>NOTAS!D6</f>
        <v>11050</v>
      </c>
    </row>
    <row r="13" spans="1:5" ht="18" customHeight="1" x14ac:dyDescent="0.25">
      <c r="A13" s="19" t="str">
        <f>HYPERLINK("https://cav.receita.fazenda.gov.br/","   Portal e-CAC")</f>
        <v xml:space="preserve">   Portal e-CAC</v>
      </c>
      <c r="C13" s="3" t="s">
        <v>13</v>
      </c>
      <c r="D13" s="5">
        <f>DESPESAS!D6</f>
        <v>1750</v>
      </c>
    </row>
    <row r="14" spans="1:5" ht="18" customHeight="1" x14ac:dyDescent="0.25">
      <c r="A14" s="19" t="str">
        <f>HYPERLINK("https://www.gov.br/receitafederal/pt-br/assuntos/meu-imposto-de-renda","   Meu Imposto de Renda")</f>
        <v xml:space="preserve">   Meu Imposto de Renda</v>
      </c>
      <c r="C14" s="3" t="s">
        <v>14</v>
      </c>
      <c r="D14" s="5">
        <f>D12-D13</f>
        <v>9300</v>
      </c>
      <c r="E14" s="6" t="s">
        <v>15</v>
      </c>
    </row>
    <row r="15" spans="1:5" ht="16.5" customHeight="1" x14ac:dyDescent="0.25">
      <c r="A15" s="19" t="str">
        <f>HYPERLINK("https://www.gov.br/receitafederal/pt-br","   Receita Federal")</f>
        <v xml:space="preserve">   Receita Federal</v>
      </c>
    </row>
    <row r="16" spans="1:5" ht="19.5" customHeight="1" x14ac:dyDescent="0.25">
      <c r="A16" s="17"/>
      <c r="C16" s="21" t="s">
        <v>16</v>
      </c>
      <c r="D16" s="21"/>
      <c r="E16" s="21"/>
    </row>
    <row r="17" spans="1:5" ht="18" customHeight="1" x14ac:dyDescent="0.25">
      <c r="A17" s="17"/>
      <c r="C17" s="3" t="s">
        <v>17</v>
      </c>
      <c r="D17" s="5">
        <f>COUNTA(INFORMES!D9,INFORMES!D14,INFORMES!D19,INFORMES!D24)</f>
        <v>3</v>
      </c>
    </row>
    <row r="18" spans="1:5" ht="18" customHeight="1" x14ac:dyDescent="0.25">
      <c r="A18" s="20" t="str">
        <f>HYPERLINK("https://github.com/Richard-456","   por Richard Lopes Bezerra")</f>
        <v xml:space="preserve">   por Richard Lopes Bezerra</v>
      </c>
      <c r="C18" s="3" t="s">
        <v>18</v>
      </c>
      <c r="D18" s="5">
        <f>COUNT(NOTAS!E10:E59)</f>
        <v>5</v>
      </c>
    </row>
    <row r="19" spans="1:5" ht="18" customHeight="1" x14ac:dyDescent="0.25">
      <c r="A19" s="17"/>
      <c r="C19" s="3" t="s">
        <v>19</v>
      </c>
      <c r="D19" s="5">
        <f>COUNT(DESPESAS!E10:E59)</f>
        <v>3</v>
      </c>
    </row>
    <row r="20" spans="1:5" ht="18" customHeight="1" x14ac:dyDescent="0.25">
      <c r="A20" s="17"/>
      <c r="C20" s="3" t="s">
        <v>20</v>
      </c>
      <c r="D20" s="5">
        <f>COUNTA(INFORMES!D9,INFORMES!D14,INFORMES!D19,INFORMES!D24)-COUNTA(INFORMES!D11,INFORMES!D16,INFORMES!D21,INFORMES!D26)</f>
        <v>0</v>
      </c>
      <c r="E20" s="6" t="s">
        <v>21</v>
      </c>
    </row>
    <row r="22" spans="1:5" x14ac:dyDescent="0.25">
      <c r="C22" s="7" t="s">
        <v>22</v>
      </c>
    </row>
  </sheetData>
  <mergeCells count="5">
    <mergeCell ref="C2:E2"/>
    <mergeCell ref="C3:E3"/>
    <mergeCell ref="C5:E5"/>
    <mergeCell ref="C8:E8"/>
    <mergeCell ref="C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showGridLines="0" showRowColHeaders="0" zoomScaleNormal="100" workbookViewId="0">
      <selection activeCell="A25" sqref="A25"/>
    </sheetView>
  </sheetViews>
  <sheetFormatPr defaultColWidth="8.7109375" defaultRowHeight="15" x14ac:dyDescent="0.25"/>
  <cols>
    <col min="1" max="1" width="28" customWidth="1"/>
    <col min="2" max="2" width="2" customWidth="1"/>
    <col min="3" max="3" width="38" customWidth="1"/>
    <col min="4" max="4" width="30" customWidth="1"/>
    <col min="5" max="5" width="22" customWidth="1"/>
    <col min="6" max="6" width="2" customWidth="1"/>
  </cols>
  <sheetData>
    <row r="1" spans="1:5" x14ac:dyDescent="0.25">
      <c r="A1" s="17"/>
    </row>
    <row r="2" spans="1:5" ht="30" customHeight="1" x14ac:dyDescent="0.3">
      <c r="A2" s="23" t="s">
        <v>0</v>
      </c>
      <c r="C2" s="2" t="s">
        <v>23</v>
      </c>
      <c r="D2" s="2"/>
      <c r="E2" s="2"/>
    </row>
    <row r="3" spans="1:5" ht="18" customHeight="1" x14ac:dyDescent="0.25">
      <c r="A3" s="22" t="s">
        <v>2</v>
      </c>
      <c r="C3" s="1" t="s">
        <v>24</v>
      </c>
      <c r="D3" s="1"/>
      <c r="E3" s="1"/>
    </row>
    <row r="4" spans="1:5" x14ac:dyDescent="0.25">
      <c r="A4" s="17"/>
    </row>
    <row r="5" spans="1:5" ht="19.5" customHeight="1" x14ac:dyDescent="0.25">
      <c r="A5" s="18" t="s">
        <v>4</v>
      </c>
      <c r="C5" s="21" t="s">
        <v>25</v>
      </c>
      <c r="D5" s="21"/>
      <c r="E5" s="21"/>
    </row>
    <row r="6" spans="1:5" ht="18" customHeight="1" x14ac:dyDescent="0.25">
      <c r="A6" s="16" t="str">
        <f>HYPERLINK("#INICIO!C3","    Painel")</f>
        <v xml:space="preserve">    Painel</v>
      </c>
      <c r="C6" s="3" t="s">
        <v>26</v>
      </c>
      <c r="D6" s="4" t="s">
        <v>27</v>
      </c>
      <c r="E6" s="6" t="s">
        <v>28</v>
      </c>
    </row>
    <row r="7" spans="1:5" ht="18" customHeight="1" x14ac:dyDescent="0.25">
      <c r="A7" s="15" t="str">
        <f>HYPERLINK("#TITULAR!C3","  ▸ Titular")</f>
        <v xml:space="preserve">  ▸ Titular</v>
      </c>
      <c r="C7" s="3" t="s">
        <v>9</v>
      </c>
      <c r="D7" s="4" t="s">
        <v>29</v>
      </c>
      <c r="E7" s="6" t="s">
        <v>30</v>
      </c>
    </row>
    <row r="8" spans="1:5" ht="18" customHeight="1" x14ac:dyDescent="0.25">
      <c r="A8" s="16" t="str">
        <f>HYPERLINK("#INFORMES!C3","    Informes")</f>
        <v xml:space="preserve">    Informes</v>
      </c>
      <c r="C8" s="3" t="s">
        <v>31</v>
      </c>
      <c r="D8" s="4" t="s">
        <v>32</v>
      </c>
    </row>
    <row r="9" spans="1:5" ht="18" customHeight="1" x14ac:dyDescent="0.25">
      <c r="A9" s="16" t="str">
        <f>HYPERLINK("#NOTAS!C3","    Rendimentos")</f>
        <v xml:space="preserve">    Rendimentos</v>
      </c>
      <c r="C9" s="3" t="s">
        <v>33</v>
      </c>
      <c r="D9" s="4" t="s">
        <v>34</v>
      </c>
    </row>
    <row r="10" spans="1:5" ht="18" customHeight="1" x14ac:dyDescent="0.25">
      <c r="A10" s="16" t="str">
        <f>HYPERLINK("#DESPESAS!C3","    Despesas")</f>
        <v xml:space="preserve">    Despesas</v>
      </c>
      <c r="C10" s="3" t="s">
        <v>35</v>
      </c>
      <c r="D10" s="4" t="s">
        <v>36</v>
      </c>
    </row>
    <row r="11" spans="1:5" ht="18" customHeight="1" x14ac:dyDescent="0.25">
      <c r="A11" s="17"/>
      <c r="C11" s="3" t="s">
        <v>37</v>
      </c>
      <c r="D11" s="4" t="s">
        <v>38</v>
      </c>
    </row>
    <row r="12" spans="1:5" x14ac:dyDescent="0.25">
      <c r="A12" s="18" t="s">
        <v>11</v>
      </c>
    </row>
    <row r="13" spans="1:5" ht="19.5" customHeight="1" x14ac:dyDescent="0.25">
      <c r="A13" s="19" t="str">
        <f>HYPERLINK("https://cav.receita.fazenda.gov.br/","   Portal e-CAC")</f>
        <v xml:space="preserve">   Portal e-CAC</v>
      </c>
      <c r="C13" s="21" t="s">
        <v>39</v>
      </c>
      <c r="D13" s="21"/>
      <c r="E13" s="21"/>
    </row>
    <row r="14" spans="1:5" ht="18" customHeight="1" x14ac:dyDescent="0.25">
      <c r="A14" s="19" t="str">
        <f>HYPERLINK("https://www.gov.br/receitafederal/pt-br/assuntos/meu-imposto-de-renda","   Meu Imposto de Renda")</f>
        <v xml:space="preserve">   Meu Imposto de Renda</v>
      </c>
      <c r="C14" s="3" t="s">
        <v>40</v>
      </c>
      <c r="D14" s="4" t="s">
        <v>41</v>
      </c>
    </row>
    <row r="15" spans="1:5" ht="18" customHeight="1" x14ac:dyDescent="0.25">
      <c r="A15" s="19" t="str">
        <f>HYPERLINK("https://www.gov.br/receitafederal/pt-br","   Receita Federal")</f>
        <v xml:space="preserve">   Receita Federal</v>
      </c>
      <c r="C15" s="3" t="s">
        <v>42</v>
      </c>
      <c r="D15" s="5" t="str">
        <f>IF(LEN(D14)&gt;60,LEFT(D14,60),D14)</f>
        <v>Rua das Palmeiras, 180 - Centro - Cambuí/MG</v>
      </c>
      <c r="E15" s="6" t="s">
        <v>43</v>
      </c>
    </row>
    <row r="16" spans="1:5" ht="18" customHeight="1" x14ac:dyDescent="0.25">
      <c r="A16" s="17"/>
      <c r="C16" s="3" t="s">
        <v>44</v>
      </c>
      <c r="D16" s="5">
        <f>60-LEN(D15)</f>
        <v>17</v>
      </c>
    </row>
    <row r="17" spans="1:5" ht="18" customHeight="1" x14ac:dyDescent="0.25">
      <c r="A17" s="17"/>
      <c r="C17" s="3" t="s">
        <v>45</v>
      </c>
      <c r="D17" s="4" t="s">
        <v>46</v>
      </c>
    </row>
    <row r="18" spans="1:5" ht="18" customHeight="1" x14ac:dyDescent="0.25">
      <c r="A18" s="20" t="str">
        <f>HYPERLINK("https://github.com/Richard-456","   por Richard Lopes Bezerra")</f>
        <v xml:space="preserve">   por Richard Lopes Bezerra</v>
      </c>
      <c r="C18" s="3" t="s">
        <v>47</v>
      </c>
      <c r="D18" s="4" t="s">
        <v>48</v>
      </c>
    </row>
    <row r="19" spans="1:5" ht="18" customHeight="1" x14ac:dyDescent="0.25">
      <c r="A19" s="17"/>
      <c r="C19" s="3" t="s">
        <v>49</v>
      </c>
      <c r="D19" s="4" t="s">
        <v>50</v>
      </c>
    </row>
    <row r="20" spans="1:5" ht="18" customHeight="1" x14ac:dyDescent="0.25">
      <c r="A20" s="17"/>
      <c r="C20" s="3" t="s">
        <v>51</v>
      </c>
      <c r="D20" s="4" t="s">
        <v>52</v>
      </c>
    </row>
    <row r="21" spans="1:5" x14ac:dyDescent="0.25">
      <c r="A21" s="17"/>
    </row>
    <row r="22" spans="1:5" ht="19.5" customHeight="1" x14ac:dyDescent="0.25">
      <c r="C22" s="21" t="s">
        <v>53</v>
      </c>
      <c r="D22" s="21"/>
      <c r="E22" s="21"/>
    </row>
    <row r="23" spans="1:5" ht="18" customHeight="1" x14ac:dyDescent="0.25">
      <c r="C23" s="3" t="s">
        <v>54</v>
      </c>
      <c r="D23" s="4" t="s">
        <v>55</v>
      </c>
    </row>
    <row r="24" spans="1:5" ht="18" customHeight="1" x14ac:dyDescent="0.25">
      <c r="C24" s="3" t="s">
        <v>56</v>
      </c>
      <c r="D24" s="4" t="s">
        <v>57</v>
      </c>
    </row>
    <row r="25" spans="1:5" ht="18" customHeight="1" x14ac:dyDescent="0.25">
      <c r="C25" s="3" t="s">
        <v>58</v>
      </c>
      <c r="D25" s="4" t="s">
        <v>57</v>
      </c>
    </row>
    <row r="26" spans="1:5" ht="18" customHeight="1" x14ac:dyDescent="0.25">
      <c r="C26" s="3" t="s">
        <v>59</v>
      </c>
      <c r="D26" s="4">
        <v>1</v>
      </c>
    </row>
  </sheetData>
  <mergeCells count="5">
    <mergeCell ref="C2:E2"/>
    <mergeCell ref="C3:E3"/>
    <mergeCell ref="C5:E5"/>
    <mergeCell ref="C13:E13"/>
    <mergeCell ref="C22:E22"/>
  </mergeCells>
  <dataValidations count="1">
    <dataValidation type="list" showErrorMessage="1" errorTitle="Valor inválido" error="Responda SIM ou NÃO." sqref="D23:D25" xr:uid="{00000000-0002-0000-0100-000000000000}">
      <formula1>sim_nao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showGridLines="0" showRowColHeaders="0" zoomScaleNormal="100" workbookViewId="0">
      <selection activeCell="D31" sqref="D31"/>
    </sheetView>
  </sheetViews>
  <sheetFormatPr defaultColWidth="8.7109375" defaultRowHeight="15" x14ac:dyDescent="0.25"/>
  <cols>
    <col min="1" max="1" width="28" customWidth="1"/>
    <col min="2" max="2" width="2" customWidth="1"/>
    <col min="3" max="3" width="38" customWidth="1"/>
    <col min="4" max="4" width="30" customWidth="1"/>
    <col min="5" max="5" width="22" customWidth="1"/>
    <col min="6" max="6" width="2" customWidth="1"/>
  </cols>
  <sheetData>
    <row r="1" spans="1:5" x14ac:dyDescent="0.25">
      <c r="A1" s="17"/>
    </row>
    <row r="2" spans="1:5" ht="30" customHeight="1" x14ac:dyDescent="0.3">
      <c r="A2" s="23" t="s">
        <v>0</v>
      </c>
      <c r="C2" s="2" t="s">
        <v>60</v>
      </c>
      <c r="D2" s="2"/>
      <c r="E2" s="2"/>
    </row>
    <row r="3" spans="1:5" ht="18" customHeight="1" x14ac:dyDescent="0.25">
      <c r="A3" s="22" t="s">
        <v>2</v>
      </c>
      <c r="C3" s="1" t="s">
        <v>61</v>
      </c>
      <c r="D3" s="1"/>
      <c r="E3" s="1"/>
    </row>
    <row r="4" spans="1:5" x14ac:dyDescent="0.25">
      <c r="A4" s="17"/>
    </row>
    <row r="5" spans="1:5" ht="19.5" customHeight="1" x14ac:dyDescent="0.25">
      <c r="A5" s="18" t="s">
        <v>4</v>
      </c>
      <c r="C5" s="21" t="s">
        <v>62</v>
      </c>
      <c r="D5" s="21"/>
      <c r="E5" s="21"/>
    </row>
    <row r="6" spans="1:5" ht="24" customHeight="1" x14ac:dyDescent="0.25">
      <c r="A6" s="16" t="str">
        <f>HYPERLINK("#INICIO!C3","    Painel")</f>
        <v xml:space="preserve">    Painel</v>
      </c>
      <c r="C6" s="8" t="s">
        <v>63</v>
      </c>
      <c r="D6" s="9">
        <f>SUM(D10,D15,D20,D25)</f>
        <v>20574.020000000004</v>
      </c>
    </row>
    <row r="7" spans="1:5" ht="19.5" customHeight="1" x14ac:dyDescent="0.25">
      <c r="A7" s="16" t="str">
        <f>HYPERLINK("#TITULAR!C3","    Titular")</f>
        <v xml:space="preserve">    Titular</v>
      </c>
    </row>
    <row r="8" spans="1:5" ht="19.5" customHeight="1" x14ac:dyDescent="0.25">
      <c r="A8" s="15" t="str">
        <f>HYPERLINK("#INFORMES!C3","  ▸ Informes")</f>
        <v xml:space="preserve">  ▸ Informes</v>
      </c>
      <c r="C8" s="21" t="s">
        <v>64</v>
      </c>
      <c r="D8" s="21"/>
      <c r="E8" s="21"/>
    </row>
    <row r="9" spans="1:5" ht="18" customHeight="1" x14ac:dyDescent="0.25">
      <c r="A9" s="16" t="str">
        <f>HYPERLINK("#NOTAS!C3","    Rendimentos")</f>
        <v xml:space="preserve">    Rendimentos</v>
      </c>
      <c r="C9" s="3" t="s">
        <v>65</v>
      </c>
      <c r="D9" s="4" t="s">
        <v>66</v>
      </c>
    </row>
    <row r="10" spans="1:5" ht="18" customHeight="1" x14ac:dyDescent="0.25">
      <c r="A10" s="16" t="str">
        <f>HYPERLINK("#DESPESAS!C3","    Despesas")</f>
        <v xml:space="preserve">    Despesas</v>
      </c>
      <c r="C10" s="3" t="s">
        <v>67</v>
      </c>
      <c r="D10" s="4">
        <v>5000</v>
      </c>
    </row>
    <row r="11" spans="1:5" ht="18" customHeight="1" x14ac:dyDescent="0.25">
      <c r="A11" s="17"/>
      <c r="C11" s="3" t="s">
        <v>68</v>
      </c>
      <c r="D11" s="4" t="s">
        <v>69</v>
      </c>
      <c r="E11" s="6" t="s">
        <v>70</v>
      </c>
    </row>
    <row r="12" spans="1:5" x14ac:dyDescent="0.25">
      <c r="A12" s="18" t="s">
        <v>11</v>
      </c>
    </row>
    <row r="13" spans="1:5" ht="19.5" customHeight="1" x14ac:dyDescent="0.25">
      <c r="A13" s="19" t="str">
        <f>HYPERLINK("https://cav.receita.fazenda.gov.br/","   Portal e-CAC")</f>
        <v xml:space="preserve">   Portal e-CAC</v>
      </c>
      <c r="C13" s="21" t="s">
        <v>71</v>
      </c>
      <c r="D13" s="21"/>
      <c r="E13" s="21"/>
    </row>
    <row r="14" spans="1:5" ht="18" customHeight="1" x14ac:dyDescent="0.25">
      <c r="A14" s="19" t="str">
        <f>HYPERLINK("https://www.gov.br/receitafederal/pt-br/assuntos/meu-imposto-de-renda","   Meu Imposto de Renda")</f>
        <v xml:space="preserve">   Meu Imposto de Renda</v>
      </c>
      <c r="C14" s="3" t="s">
        <v>65</v>
      </c>
      <c r="D14" s="4" t="s">
        <v>72</v>
      </c>
    </row>
    <row r="15" spans="1:5" ht="18" customHeight="1" x14ac:dyDescent="0.25">
      <c r="A15" s="19" t="str">
        <f>HYPERLINK("https://www.gov.br/receitafederal/pt-br","   Receita Federal")</f>
        <v xml:space="preserve">   Receita Federal</v>
      </c>
      <c r="C15" s="3" t="s">
        <v>67</v>
      </c>
      <c r="D15" s="4">
        <v>13123.12</v>
      </c>
    </row>
    <row r="16" spans="1:5" ht="18" customHeight="1" x14ac:dyDescent="0.25">
      <c r="A16" s="17"/>
      <c r="C16" s="3" t="s">
        <v>68</v>
      </c>
      <c r="D16" s="4" t="s">
        <v>73</v>
      </c>
      <c r="E16" s="6" t="s">
        <v>70</v>
      </c>
    </row>
    <row r="17" spans="1:5" x14ac:dyDescent="0.25">
      <c r="A17" s="17"/>
    </row>
    <row r="18" spans="1:5" ht="19.5" customHeight="1" x14ac:dyDescent="0.25">
      <c r="A18" s="20" t="str">
        <f>HYPERLINK("https://github.com/Richard-456","   por Richard Lopes Bezerra")</f>
        <v xml:space="preserve">   por Richard Lopes Bezerra</v>
      </c>
      <c r="C18" s="21" t="s">
        <v>74</v>
      </c>
      <c r="D18" s="21"/>
      <c r="E18" s="21"/>
    </row>
    <row r="19" spans="1:5" ht="18" customHeight="1" x14ac:dyDescent="0.25">
      <c r="A19" s="17"/>
      <c r="C19" s="3" t="s">
        <v>65</v>
      </c>
      <c r="D19" s="4" t="s">
        <v>75</v>
      </c>
    </row>
    <row r="20" spans="1:5" ht="18" customHeight="1" x14ac:dyDescent="0.25">
      <c r="A20" s="17"/>
      <c r="C20" s="3" t="s">
        <v>67</v>
      </c>
      <c r="D20" s="4">
        <v>2450.9</v>
      </c>
    </row>
    <row r="21" spans="1:5" ht="18" customHeight="1" x14ac:dyDescent="0.25">
      <c r="C21" s="3" t="s">
        <v>68</v>
      </c>
      <c r="D21" s="4" t="s">
        <v>76</v>
      </c>
      <c r="E21" s="6" t="s">
        <v>70</v>
      </c>
    </row>
    <row r="23" spans="1:5" ht="19.5" customHeight="1" x14ac:dyDescent="0.25">
      <c r="C23" s="21" t="s">
        <v>77</v>
      </c>
      <c r="D23" s="21"/>
      <c r="E23" s="21"/>
    </row>
    <row r="24" spans="1:5" ht="18" customHeight="1" x14ac:dyDescent="0.25">
      <c r="C24" s="3" t="s">
        <v>65</v>
      </c>
      <c r="D24" s="4"/>
    </row>
    <row r="25" spans="1:5" ht="18" customHeight="1" x14ac:dyDescent="0.25">
      <c r="C25" s="3" t="s">
        <v>67</v>
      </c>
      <c r="D25" s="4"/>
    </row>
    <row r="26" spans="1:5" ht="18" customHeight="1" x14ac:dyDescent="0.25">
      <c r="C26" s="3" t="s">
        <v>68</v>
      </c>
      <c r="D26" s="4"/>
      <c r="E26" s="6" t="s">
        <v>70</v>
      </c>
    </row>
    <row r="28" spans="1:5" x14ac:dyDescent="0.25">
      <c r="C28" s="7" t="s">
        <v>78</v>
      </c>
    </row>
  </sheetData>
  <mergeCells count="7">
    <mergeCell ref="C18:E18"/>
    <mergeCell ref="C23:E23"/>
    <mergeCell ref="C2:E2"/>
    <mergeCell ref="C3:E3"/>
    <mergeCell ref="C5:E5"/>
    <mergeCell ref="C8:E8"/>
    <mergeCell ref="C13:E13"/>
  </mergeCells>
  <dataValidations count="1">
    <dataValidation type="list" allowBlank="1" showInputMessage="1" showErrorMessage="1" errorTitle="Banco não encontrado" error="Escolha um banco da lista de apoio." promptTitle="Informe um banco" prompt="Selecione o banco vinculado ao seu CPF." sqref="D9 D14 D19 D24" xr:uid="{00000000-0002-0000-0200-000000000000}">
      <formula1>bancos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9"/>
  <sheetViews>
    <sheetView showGridLines="0" showRowColHeaders="0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D1" sqref="D1"/>
    </sheetView>
  </sheetViews>
  <sheetFormatPr defaultColWidth="8.7109375" defaultRowHeight="15" x14ac:dyDescent="0.25"/>
  <cols>
    <col min="1" max="1" width="28" customWidth="1"/>
    <col min="2" max="2" width="2" customWidth="1"/>
    <col min="3" max="3" width="38" customWidth="1"/>
    <col min="4" max="4" width="30" customWidth="1"/>
    <col min="5" max="5" width="22" customWidth="1"/>
    <col min="6" max="6" width="2" customWidth="1"/>
  </cols>
  <sheetData>
    <row r="1" spans="1:5" x14ac:dyDescent="0.25">
      <c r="A1" s="17"/>
    </row>
    <row r="2" spans="1:5" ht="30" customHeight="1" x14ac:dyDescent="0.3">
      <c r="A2" s="23" t="s">
        <v>0</v>
      </c>
      <c r="C2" s="2" t="s">
        <v>79</v>
      </c>
      <c r="D2" s="2"/>
      <c r="E2" s="2"/>
    </row>
    <row r="3" spans="1:5" ht="18" customHeight="1" x14ac:dyDescent="0.25">
      <c r="A3" s="22" t="s">
        <v>2</v>
      </c>
      <c r="C3" s="1" t="s">
        <v>80</v>
      </c>
      <c r="D3" s="1"/>
      <c r="E3" s="1"/>
    </row>
    <row r="4" spans="1:5" x14ac:dyDescent="0.25">
      <c r="A4" s="17"/>
    </row>
    <row r="5" spans="1:5" ht="19.5" customHeight="1" x14ac:dyDescent="0.25">
      <c r="A5" s="18" t="s">
        <v>4</v>
      </c>
      <c r="C5" s="21" t="s">
        <v>81</v>
      </c>
      <c r="D5" s="21"/>
      <c r="E5" s="21"/>
    </row>
    <row r="6" spans="1:5" ht="24" customHeight="1" x14ac:dyDescent="0.25">
      <c r="A6" s="16" t="str">
        <f>HYPERLINK("#INICIO!C3","    Painel")</f>
        <v xml:space="preserve">    Painel</v>
      </c>
      <c r="C6" s="8" t="s">
        <v>82</v>
      </c>
      <c r="D6" s="9">
        <f>SUM(E10:E59)</f>
        <v>11050</v>
      </c>
      <c r="E6" s="10" t="str">
        <f>COUNT(E10:E59)&amp;" lançamento(s)"</f>
        <v>5 lançamento(s)</v>
      </c>
    </row>
    <row r="7" spans="1:5" ht="19.5" customHeight="1" x14ac:dyDescent="0.25">
      <c r="A7" s="16" t="str">
        <f>HYPERLINK("#TITULAR!C3","    Titular")</f>
        <v xml:space="preserve">    Titular</v>
      </c>
    </row>
    <row r="8" spans="1:5" ht="19.5" customHeight="1" x14ac:dyDescent="0.25">
      <c r="A8" s="16" t="str">
        <f>HYPERLINK("#INFORMES!C3","    Informes")</f>
        <v xml:space="preserve">    Informes</v>
      </c>
    </row>
    <row r="9" spans="1:5" ht="19.5" customHeight="1" x14ac:dyDescent="0.25">
      <c r="A9" s="15" t="str">
        <f>HYPERLINK("#NOTAS!C3","  ▸ Rendimentos")</f>
        <v xml:space="preserve">  ▸ Rendimentos</v>
      </c>
      <c r="C9" s="25" t="s">
        <v>83</v>
      </c>
      <c r="D9" s="25" t="s">
        <v>84</v>
      </c>
      <c r="E9" s="25" t="s">
        <v>85</v>
      </c>
    </row>
    <row r="10" spans="1:5" ht="16.5" customHeight="1" x14ac:dyDescent="0.25">
      <c r="A10" s="16" t="str">
        <f>HYPERLINK("#DESPESAS!C3","    Despesas")</f>
        <v xml:space="preserve">    Despesas</v>
      </c>
      <c r="C10" s="11" t="s">
        <v>86</v>
      </c>
      <c r="D10" s="11" t="s">
        <v>87</v>
      </c>
      <c r="E10" s="11">
        <v>3000</v>
      </c>
    </row>
    <row r="11" spans="1:5" ht="16.5" customHeight="1" x14ac:dyDescent="0.25">
      <c r="A11" s="17"/>
      <c r="C11" s="11" t="s">
        <v>88</v>
      </c>
      <c r="D11" s="11" t="s">
        <v>87</v>
      </c>
      <c r="E11" s="11">
        <v>3000</v>
      </c>
    </row>
    <row r="12" spans="1:5" ht="16.5" customHeight="1" x14ac:dyDescent="0.25">
      <c r="A12" s="18" t="s">
        <v>11</v>
      </c>
      <c r="C12" s="11" t="s">
        <v>89</v>
      </c>
      <c r="D12" s="11" t="s">
        <v>90</v>
      </c>
      <c r="E12" s="11">
        <v>850</v>
      </c>
    </row>
    <row r="13" spans="1:5" ht="16.5" customHeight="1" x14ac:dyDescent="0.25">
      <c r="A13" s="19" t="str">
        <f>HYPERLINK("https://cav.receita.fazenda.gov.br/","   Portal e-CAC")</f>
        <v xml:space="preserve">   Portal e-CAC</v>
      </c>
      <c r="C13" s="11" t="s">
        <v>91</v>
      </c>
      <c r="D13" s="11" t="s">
        <v>87</v>
      </c>
      <c r="E13" s="11">
        <v>3000</v>
      </c>
    </row>
    <row r="14" spans="1:5" ht="16.5" customHeight="1" x14ac:dyDescent="0.25">
      <c r="A14" s="19" t="str">
        <f>HYPERLINK("https://www.gov.br/receitafederal/pt-br/assuntos/meu-imposto-de-renda","   Meu Imposto de Renda")</f>
        <v xml:space="preserve">   Meu Imposto de Renda</v>
      </c>
      <c r="C14" s="11" t="s">
        <v>92</v>
      </c>
      <c r="D14" s="11" t="s">
        <v>93</v>
      </c>
      <c r="E14" s="11">
        <v>1200</v>
      </c>
    </row>
    <row r="15" spans="1:5" ht="16.5" customHeight="1" x14ac:dyDescent="0.25">
      <c r="A15" s="19" t="str">
        <f>HYPERLINK("https://www.gov.br/receitafederal/pt-br","   Receita Federal")</f>
        <v xml:space="preserve">   Receita Federal</v>
      </c>
      <c r="C15" s="11"/>
      <c r="D15" s="11"/>
      <c r="E15" s="11"/>
    </row>
    <row r="16" spans="1:5" ht="16.5" customHeight="1" x14ac:dyDescent="0.25">
      <c r="A16" s="17"/>
      <c r="C16" s="11"/>
      <c r="D16" s="11"/>
      <c r="E16" s="11"/>
    </row>
    <row r="17" spans="1:5" ht="16.5" customHeight="1" x14ac:dyDescent="0.25">
      <c r="A17" s="17"/>
      <c r="C17" s="11"/>
      <c r="D17" s="11"/>
      <c r="E17" s="11"/>
    </row>
    <row r="18" spans="1:5" ht="16.5" customHeight="1" x14ac:dyDescent="0.25">
      <c r="A18" s="20" t="str">
        <f>HYPERLINK("https://github.com/Richard-456","   por Richard Lopes Bezerra")</f>
        <v xml:space="preserve">   por Richard Lopes Bezerra</v>
      </c>
      <c r="C18" s="11"/>
      <c r="D18" s="11"/>
      <c r="E18" s="11"/>
    </row>
    <row r="19" spans="1:5" ht="16.5" customHeight="1" x14ac:dyDescent="0.25">
      <c r="A19" s="17"/>
      <c r="C19" s="11"/>
      <c r="D19" s="11"/>
      <c r="E19" s="11"/>
    </row>
    <row r="20" spans="1:5" ht="16.5" customHeight="1" x14ac:dyDescent="0.25">
      <c r="C20" s="11"/>
      <c r="D20" s="11"/>
      <c r="E20" s="11"/>
    </row>
    <row r="21" spans="1:5" ht="16.5" customHeight="1" x14ac:dyDescent="0.25">
      <c r="C21" s="11"/>
      <c r="D21" s="11"/>
      <c r="E21" s="11"/>
    </row>
    <row r="22" spans="1:5" ht="16.5" customHeight="1" x14ac:dyDescent="0.25">
      <c r="C22" s="11"/>
      <c r="D22" s="11"/>
      <c r="E22" s="11"/>
    </row>
    <row r="23" spans="1:5" ht="16.5" customHeight="1" x14ac:dyDescent="0.25">
      <c r="C23" s="11"/>
      <c r="D23" s="11"/>
      <c r="E23" s="11"/>
    </row>
    <row r="24" spans="1:5" ht="16.5" customHeight="1" x14ac:dyDescent="0.25">
      <c r="C24" s="11"/>
      <c r="D24" s="11"/>
      <c r="E24" s="11"/>
    </row>
    <row r="25" spans="1:5" ht="16.5" customHeight="1" x14ac:dyDescent="0.25">
      <c r="C25" s="11"/>
      <c r="D25" s="11"/>
      <c r="E25" s="11"/>
    </row>
    <row r="26" spans="1:5" ht="16.5" customHeight="1" x14ac:dyDescent="0.25">
      <c r="C26" s="11"/>
      <c r="D26" s="11"/>
      <c r="E26" s="11"/>
    </row>
    <row r="27" spans="1:5" ht="16.5" customHeight="1" x14ac:dyDescent="0.25">
      <c r="C27" s="11"/>
      <c r="D27" s="11"/>
      <c r="E27" s="11"/>
    </row>
    <row r="28" spans="1:5" ht="16.5" customHeight="1" x14ac:dyDescent="0.25">
      <c r="C28" s="11"/>
      <c r="D28" s="11"/>
      <c r="E28" s="11"/>
    </row>
    <row r="29" spans="1:5" ht="16.5" customHeight="1" x14ac:dyDescent="0.25">
      <c r="C29" s="11"/>
      <c r="D29" s="11"/>
      <c r="E29" s="11"/>
    </row>
    <row r="30" spans="1:5" ht="16.5" customHeight="1" x14ac:dyDescent="0.25">
      <c r="C30" s="11"/>
      <c r="D30" s="11"/>
      <c r="E30" s="11"/>
    </row>
    <row r="31" spans="1:5" ht="16.5" customHeight="1" x14ac:dyDescent="0.25">
      <c r="C31" s="11"/>
      <c r="D31" s="11"/>
      <c r="E31" s="11"/>
    </row>
    <row r="32" spans="1:5" ht="16.5" customHeight="1" x14ac:dyDescent="0.25">
      <c r="C32" s="11"/>
      <c r="D32" s="11"/>
      <c r="E32" s="11"/>
    </row>
    <row r="33" spans="3:5" ht="16.5" customHeight="1" x14ac:dyDescent="0.25">
      <c r="C33" s="11"/>
      <c r="D33" s="11"/>
      <c r="E33" s="11"/>
    </row>
    <row r="34" spans="3:5" ht="16.5" customHeight="1" x14ac:dyDescent="0.25">
      <c r="C34" s="11"/>
      <c r="D34" s="11"/>
      <c r="E34" s="11"/>
    </row>
    <row r="35" spans="3:5" ht="16.5" customHeight="1" x14ac:dyDescent="0.25">
      <c r="C35" s="11"/>
      <c r="D35" s="11"/>
      <c r="E35" s="11"/>
    </row>
    <row r="36" spans="3:5" ht="16.5" customHeight="1" x14ac:dyDescent="0.25">
      <c r="C36" s="11"/>
      <c r="D36" s="11"/>
      <c r="E36" s="11"/>
    </row>
    <row r="37" spans="3:5" ht="16.5" customHeight="1" x14ac:dyDescent="0.25">
      <c r="C37" s="11"/>
      <c r="D37" s="11"/>
      <c r="E37" s="11"/>
    </row>
    <row r="38" spans="3:5" ht="16.5" customHeight="1" x14ac:dyDescent="0.25">
      <c r="C38" s="11"/>
      <c r="D38" s="11"/>
      <c r="E38" s="11"/>
    </row>
    <row r="39" spans="3:5" ht="16.5" customHeight="1" x14ac:dyDescent="0.25">
      <c r="C39" s="11"/>
      <c r="D39" s="11"/>
      <c r="E39" s="11"/>
    </row>
    <row r="40" spans="3:5" ht="16.5" customHeight="1" x14ac:dyDescent="0.25">
      <c r="C40" s="11"/>
      <c r="D40" s="11"/>
      <c r="E40" s="11"/>
    </row>
    <row r="41" spans="3:5" ht="16.5" customHeight="1" x14ac:dyDescent="0.25">
      <c r="C41" s="11"/>
      <c r="D41" s="11"/>
      <c r="E41" s="11"/>
    </row>
    <row r="42" spans="3:5" ht="16.5" customHeight="1" x14ac:dyDescent="0.25">
      <c r="C42" s="11"/>
      <c r="D42" s="11"/>
      <c r="E42" s="11"/>
    </row>
    <row r="43" spans="3:5" ht="16.5" customHeight="1" x14ac:dyDescent="0.25">
      <c r="C43" s="11"/>
      <c r="D43" s="11"/>
      <c r="E43" s="11"/>
    </row>
    <row r="44" spans="3:5" ht="16.5" customHeight="1" x14ac:dyDescent="0.25">
      <c r="C44" s="11"/>
      <c r="D44" s="11"/>
      <c r="E44" s="11"/>
    </row>
    <row r="45" spans="3:5" ht="16.5" customHeight="1" x14ac:dyDescent="0.25">
      <c r="C45" s="11"/>
      <c r="D45" s="11"/>
      <c r="E45" s="11"/>
    </row>
    <row r="46" spans="3:5" ht="16.5" customHeight="1" x14ac:dyDescent="0.25">
      <c r="C46" s="11"/>
      <c r="D46" s="11"/>
      <c r="E46" s="11"/>
    </row>
    <row r="47" spans="3:5" ht="16.5" customHeight="1" x14ac:dyDescent="0.25">
      <c r="C47" s="11"/>
      <c r="D47" s="11"/>
      <c r="E47" s="11"/>
    </row>
    <row r="48" spans="3:5" ht="16.5" customHeight="1" x14ac:dyDescent="0.25">
      <c r="C48" s="11"/>
      <c r="D48" s="11"/>
      <c r="E48" s="11"/>
    </row>
    <row r="49" spans="3:5" ht="16.5" customHeight="1" x14ac:dyDescent="0.25">
      <c r="C49" s="11"/>
      <c r="D49" s="11"/>
      <c r="E49" s="11"/>
    </row>
    <row r="50" spans="3:5" ht="16.5" customHeight="1" x14ac:dyDescent="0.25">
      <c r="C50" s="11"/>
      <c r="D50" s="11"/>
      <c r="E50" s="11"/>
    </row>
    <row r="51" spans="3:5" ht="16.5" customHeight="1" x14ac:dyDescent="0.25">
      <c r="C51" s="11"/>
      <c r="D51" s="11"/>
      <c r="E51" s="11"/>
    </row>
    <row r="52" spans="3:5" ht="16.5" customHeight="1" x14ac:dyDescent="0.25">
      <c r="C52" s="11"/>
      <c r="D52" s="11"/>
      <c r="E52" s="11"/>
    </row>
    <row r="53" spans="3:5" ht="16.5" customHeight="1" x14ac:dyDescent="0.25">
      <c r="C53" s="11"/>
      <c r="D53" s="11"/>
      <c r="E53" s="11"/>
    </row>
    <row r="54" spans="3:5" ht="16.5" customHeight="1" x14ac:dyDescent="0.25">
      <c r="C54" s="11"/>
      <c r="D54" s="11"/>
      <c r="E54" s="11"/>
    </row>
    <row r="55" spans="3:5" ht="16.5" customHeight="1" x14ac:dyDescent="0.25">
      <c r="C55" s="11"/>
      <c r="D55" s="11"/>
      <c r="E55" s="11"/>
    </row>
    <row r="56" spans="3:5" ht="16.5" customHeight="1" x14ac:dyDescent="0.25">
      <c r="C56" s="11"/>
      <c r="D56" s="11"/>
      <c r="E56" s="11"/>
    </row>
    <row r="57" spans="3:5" ht="16.5" customHeight="1" x14ac:dyDescent="0.25">
      <c r="C57" s="11"/>
      <c r="D57" s="11"/>
      <c r="E57" s="11"/>
    </row>
    <row r="58" spans="3:5" ht="16.5" customHeight="1" x14ac:dyDescent="0.25">
      <c r="C58" s="11"/>
      <c r="D58" s="11"/>
      <c r="E58" s="11"/>
    </row>
    <row r="59" spans="3:5" ht="16.5" customHeight="1" x14ac:dyDescent="0.25">
      <c r="C59" s="11"/>
      <c r="D59" s="11"/>
      <c r="E59" s="11"/>
    </row>
  </sheetData>
  <mergeCells count="3">
    <mergeCell ref="C2:E2"/>
    <mergeCell ref="C3:E3"/>
    <mergeCell ref="C5:E5"/>
  </mergeCells>
  <dataValidations count="1">
    <dataValidation type="list" allowBlank="1" showErrorMessage="1" errorTitle="Categoria inválida" error="Escolha uma categoria da lista de apoio." sqref="D10:D59" xr:uid="{00000000-0002-0000-0300-000000000000}">
      <formula1>categorias_rendimento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9"/>
  <sheetViews>
    <sheetView showGridLines="0" showRowColHeaders="0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7" sqref="C7"/>
    </sheetView>
  </sheetViews>
  <sheetFormatPr defaultColWidth="8.7109375" defaultRowHeight="15" x14ac:dyDescent="0.25"/>
  <cols>
    <col min="1" max="1" width="28" customWidth="1"/>
    <col min="2" max="2" width="2" customWidth="1"/>
    <col min="3" max="3" width="38" customWidth="1"/>
    <col min="4" max="4" width="30" customWidth="1"/>
    <col min="5" max="5" width="22" customWidth="1"/>
    <col min="6" max="6" width="2" customWidth="1"/>
  </cols>
  <sheetData>
    <row r="1" spans="1:5" x14ac:dyDescent="0.25">
      <c r="A1" s="17"/>
    </row>
    <row r="2" spans="1:5" ht="30" customHeight="1" x14ac:dyDescent="0.3">
      <c r="A2" s="23" t="s">
        <v>0</v>
      </c>
      <c r="C2" s="2" t="s">
        <v>94</v>
      </c>
      <c r="D2" s="2"/>
      <c r="E2" s="2"/>
    </row>
    <row r="3" spans="1:5" ht="18" customHeight="1" x14ac:dyDescent="0.25">
      <c r="A3" s="22" t="s">
        <v>2</v>
      </c>
      <c r="C3" s="1" t="s">
        <v>95</v>
      </c>
      <c r="D3" s="1"/>
      <c r="E3" s="1"/>
    </row>
    <row r="4" spans="1:5" x14ac:dyDescent="0.25">
      <c r="A4" s="17"/>
    </row>
    <row r="5" spans="1:5" ht="19.5" customHeight="1" x14ac:dyDescent="0.25">
      <c r="A5" s="18" t="s">
        <v>4</v>
      </c>
      <c r="C5" s="21" t="s">
        <v>96</v>
      </c>
      <c r="D5" s="21"/>
      <c r="E5" s="21"/>
    </row>
    <row r="6" spans="1:5" ht="24" customHeight="1" x14ac:dyDescent="0.25">
      <c r="A6" s="16" t="str">
        <f>HYPERLINK("#INICIO!C3","    Painel")</f>
        <v xml:space="preserve">    Painel</v>
      </c>
      <c r="C6" s="8" t="s">
        <v>82</v>
      </c>
      <c r="D6" s="9">
        <f>SUM(E10:E59)</f>
        <v>1750</v>
      </c>
      <c r="E6" s="10" t="str">
        <f>COUNT(E10:E59)&amp;" lançamento(s)"</f>
        <v>3 lançamento(s)</v>
      </c>
    </row>
    <row r="7" spans="1:5" ht="19.5" customHeight="1" x14ac:dyDescent="0.25">
      <c r="A7" s="16" t="str">
        <f>HYPERLINK("#TITULAR!C3","    Titular")</f>
        <v xml:space="preserve">    Titular</v>
      </c>
    </row>
    <row r="8" spans="1:5" ht="19.5" customHeight="1" x14ac:dyDescent="0.25">
      <c r="A8" s="16" t="str">
        <f>HYPERLINK("#INFORMES!C3","    Informes")</f>
        <v xml:space="preserve">    Informes</v>
      </c>
    </row>
    <row r="9" spans="1:5" ht="19.5" customHeight="1" x14ac:dyDescent="0.25">
      <c r="A9" s="16" t="str">
        <f>HYPERLINK("#NOTAS!C3","    Rendimentos")</f>
        <v xml:space="preserve">    Rendimentos</v>
      </c>
      <c r="C9" s="25" t="s">
        <v>83</v>
      </c>
      <c r="D9" s="25" t="s">
        <v>84</v>
      </c>
      <c r="E9" s="25" t="s">
        <v>85</v>
      </c>
    </row>
    <row r="10" spans="1:5" ht="16.5" customHeight="1" x14ac:dyDescent="0.25">
      <c r="A10" s="15" t="str">
        <f>HYPERLINK("#DESPESAS!C3","  ▸ Despesas")</f>
        <v xml:space="preserve">  ▸ Despesas</v>
      </c>
      <c r="C10" s="11" t="s">
        <v>97</v>
      </c>
      <c r="D10" s="11" t="s">
        <v>98</v>
      </c>
      <c r="E10" s="11">
        <v>420</v>
      </c>
    </row>
    <row r="11" spans="1:5" ht="16.5" customHeight="1" x14ac:dyDescent="0.25">
      <c r="A11" s="17"/>
      <c r="C11" s="11" t="s">
        <v>99</v>
      </c>
      <c r="D11" s="11" t="s">
        <v>100</v>
      </c>
      <c r="E11" s="11">
        <v>980</v>
      </c>
    </row>
    <row r="12" spans="1:5" ht="16.5" customHeight="1" x14ac:dyDescent="0.25">
      <c r="A12" s="18" t="s">
        <v>11</v>
      </c>
      <c r="C12" s="11" t="s">
        <v>101</v>
      </c>
      <c r="D12" s="11" t="s">
        <v>102</v>
      </c>
      <c r="E12" s="11">
        <v>350</v>
      </c>
    </row>
    <row r="13" spans="1:5" ht="16.5" customHeight="1" x14ac:dyDescent="0.25">
      <c r="A13" s="19" t="str">
        <f>HYPERLINK("https://cav.receita.fazenda.gov.br/","   Portal e-CAC")</f>
        <v xml:space="preserve">   Portal e-CAC</v>
      </c>
      <c r="C13" s="11"/>
      <c r="D13" s="11"/>
      <c r="E13" s="11"/>
    </row>
    <row r="14" spans="1:5" ht="16.5" customHeight="1" x14ac:dyDescent="0.25">
      <c r="A14" s="19" t="str">
        <f>HYPERLINK("https://www.gov.br/receitafederal/pt-br/assuntos/meu-imposto-de-renda","   Meu Imposto de Renda")</f>
        <v xml:space="preserve">   Meu Imposto de Renda</v>
      </c>
      <c r="C14" s="11"/>
      <c r="D14" s="11"/>
      <c r="E14" s="11"/>
    </row>
    <row r="15" spans="1:5" ht="16.5" customHeight="1" x14ac:dyDescent="0.25">
      <c r="A15" s="19" t="str">
        <f>HYPERLINK("https://www.gov.br/receitafederal/pt-br","   Receita Federal")</f>
        <v xml:space="preserve">   Receita Federal</v>
      </c>
      <c r="C15" s="11"/>
      <c r="D15" s="11"/>
      <c r="E15" s="11"/>
    </row>
    <row r="16" spans="1:5" ht="16.5" customHeight="1" x14ac:dyDescent="0.25">
      <c r="A16" s="17"/>
      <c r="C16" s="11"/>
      <c r="D16" s="11"/>
      <c r="E16" s="11"/>
    </row>
    <row r="17" spans="1:5" ht="16.5" customHeight="1" x14ac:dyDescent="0.25">
      <c r="A17" s="17"/>
      <c r="C17" s="11"/>
      <c r="D17" s="11"/>
      <c r="E17" s="11"/>
    </row>
    <row r="18" spans="1:5" ht="16.5" customHeight="1" x14ac:dyDescent="0.25">
      <c r="A18" s="20" t="str">
        <f>HYPERLINK("https://github.com/Richard-456","   por Richard Lopes Bezerra")</f>
        <v xml:space="preserve">   por Richard Lopes Bezerra</v>
      </c>
      <c r="C18" s="11"/>
      <c r="D18" s="11"/>
      <c r="E18" s="11"/>
    </row>
    <row r="19" spans="1:5" ht="16.5" customHeight="1" x14ac:dyDescent="0.25">
      <c r="A19" s="17"/>
      <c r="C19" s="11"/>
      <c r="D19" s="11"/>
      <c r="E19" s="11"/>
    </row>
    <row r="20" spans="1:5" ht="16.5" customHeight="1" x14ac:dyDescent="0.25">
      <c r="C20" s="11"/>
      <c r="D20" s="11"/>
      <c r="E20" s="11"/>
    </row>
    <row r="21" spans="1:5" ht="16.5" customHeight="1" x14ac:dyDescent="0.25">
      <c r="C21" s="11"/>
      <c r="D21" s="11"/>
      <c r="E21" s="11"/>
    </row>
    <row r="22" spans="1:5" ht="16.5" customHeight="1" x14ac:dyDescent="0.25">
      <c r="C22" s="11"/>
      <c r="D22" s="11"/>
      <c r="E22" s="11"/>
    </row>
    <row r="23" spans="1:5" ht="16.5" customHeight="1" x14ac:dyDescent="0.25">
      <c r="C23" s="11"/>
      <c r="D23" s="11"/>
      <c r="E23" s="11"/>
    </row>
    <row r="24" spans="1:5" ht="16.5" customHeight="1" x14ac:dyDescent="0.25">
      <c r="C24" s="11"/>
      <c r="D24" s="11"/>
      <c r="E24" s="11"/>
    </row>
    <row r="25" spans="1:5" ht="16.5" customHeight="1" x14ac:dyDescent="0.25">
      <c r="C25" s="11"/>
      <c r="D25" s="11"/>
      <c r="E25" s="11"/>
    </row>
    <row r="26" spans="1:5" ht="16.5" customHeight="1" x14ac:dyDescent="0.25">
      <c r="C26" s="11"/>
      <c r="D26" s="11"/>
      <c r="E26" s="11"/>
    </row>
    <row r="27" spans="1:5" ht="16.5" customHeight="1" x14ac:dyDescent="0.25">
      <c r="C27" s="11"/>
      <c r="D27" s="11"/>
      <c r="E27" s="11"/>
    </row>
    <row r="28" spans="1:5" ht="16.5" customHeight="1" x14ac:dyDescent="0.25">
      <c r="C28" s="11"/>
      <c r="D28" s="11"/>
      <c r="E28" s="11"/>
    </row>
    <row r="29" spans="1:5" ht="16.5" customHeight="1" x14ac:dyDescent="0.25">
      <c r="C29" s="11"/>
      <c r="D29" s="11"/>
      <c r="E29" s="11"/>
    </row>
    <row r="30" spans="1:5" ht="16.5" customHeight="1" x14ac:dyDescent="0.25">
      <c r="C30" s="11"/>
      <c r="D30" s="11"/>
      <c r="E30" s="11"/>
    </row>
    <row r="31" spans="1:5" ht="16.5" customHeight="1" x14ac:dyDescent="0.25">
      <c r="C31" s="11"/>
      <c r="D31" s="11"/>
      <c r="E31" s="11"/>
    </row>
    <row r="32" spans="1:5" ht="16.5" customHeight="1" x14ac:dyDescent="0.25">
      <c r="C32" s="11"/>
      <c r="D32" s="11"/>
      <c r="E32" s="11"/>
    </row>
    <row r="33" spans="3:5" ht="16.5" customHeight="1" x14ac:dyDescent="0.25">
      <c r="C33" s="11"/>
      <c r="D33" s="11"/>
      <c r="E33" s="11"/>
    </row>
    <row r="34" spans="3:5" ht="16.5" customHeight="1" x14ac:dyDescent="0.25">
      <c r="C34" s="11"/>
      <c r="D34" s="11"/>
      <c r="E34" s="11"/>
    </row>
    <row r="35" spans="3:5" ht="16.5" customHeight="1" x14ac:dyDescent="0.25">
      <c r="C35" s="11"/>
      <c r="D35" s="11"/>
      <c r="E35" s="11"/>
    </row>
    <row r="36" spans="3:5" ht="16.5" customHeight="1" x14ac:dyDescent="0.25">
      <c r="C36" s="11"/>
      <c r="D36" s="11"/>
      <c r="E36" s="11"/>
    </row>
    <row r="37" spans="3:5" ht="16.5" customHeight="1" x14ac:dyDescent="0.25">
      <c r="C37" s="11"/>
      <c r="D37" s="11"/>
      <c r="E37" s="11"/>
    </row>
    <row r="38" spans="3:5" ht="16.5" customHeight="1" x14ac:dyDescent="0.25">
      <c r="C38" s="11"/>
      <c r="D38" s="11"/>
      <c r="E38" s="11"/>
    </row>
    <row r="39" spans="3:5" ht="16.5" customHeight="1" x14ac:dyDescent="0.25">
      <c r="C39" s="11"/>
      <c r="D39" s="11"/>
      <c r="E39" s="11"/>
    </row>
    <row r="40" spans="3:5" ht="16.5" customHeight="1" x14ac:dyDescent="0.25">
      <c r="C40" s="11"/>
      <c r="D40" s="11"/>
      <c r="E40" s="11"/>
    </row>
    <row r="41" spans="3:5" ht="16.5" customHeight="1" x14ac:dyDescent="0.25">
      <c r="C41" s="11"/>
      <c r="D41" s="11"/>
      <c r="E41" s="11"/>
    </row>
    <row r="42" spans="3:5" ht="16.5" customHeight="1" x14ac:dyDescent="0.25">
      <c r="C42" s="11"/>
      <c r="D42" s="11"/>
      <c r="E42" s="11"/>
    </row>
    <row r="43" spans="3:5" ht="16.5" customHeight="1" x14ac:dyDescent="0.25">
      <c r="C43" s="11"/>
      <c r="D43" s="11"/>
      <c r="E43" s="11"/>
    </row>
    <row r="44" spans="3:5" ht="16.5" customHeight="1" x14ac:dyDescent="0.25">
      <c r="C44" s="11"/>
      <c r="D44" s="11"/>
      <c r="E44" s="11"/>
    </row>
    <row r="45" spans="3:5" ht="16.5" customHeight="1" x14ac:dyDescent="0.25">
      <c r="C45" s="11"/>
      <c r="D45" s="11"/>
      <c r="E45" s="11"/>
    </row>
    <row r="46" spans="3:5" ht="16.5" customHeight="1" x14ac:dyDescent="0.25">
      <c r="C46" s="11"/>
      <c r="D46" s="11"/>
      <c r="E46" s="11"/>
    </row>
    <row r="47" spans="3:5" ht="16.5" customHeight="1" x14ac:dyDescent="0.25">
      <c r="C47" s="11"/>
      <c r="D47" s="11"/>
      <c r="E47" s="11"/>
    </row>
    <row r="48" spans="3:5" ht="16.5" customHeight="1" x14ac:dyDescent="0.25">
      <c r="C48" s="11"/>
      <c r="D48" s="11"/>
      <c r="E48" s="11"/>
    </row>
    <row r="49" spans="3:5" ht="16.5" customHeight="1" x14ac:dyDescent="0.25">
      <c r="C49" s="11"/>
      <c r="D49" s="11"/>
      <c r="E49" s="11"/>
    </row>
    <row r="50" spans="3:5" ht="16.5" customHeight="1" x14ac:dyDescent="0.25">
      <c r="C50" s="11"/>
      <c r="D50" s="11"/>
      <c r="E50" s="11"/>
    </row>
    <row r="51" spans="3:5" ht="16.5" customHeight="1" x14ac:dyDescent="0.25">
      <c r="C51" s="11"/>
      <c r="D51" s="11"/>
      <c r="E51" s="11"/>
    </row>
    <row r="52" spans="3:5" ht="16.5" customHeight="1" x14ac:dyDescent="0.25">
      <c r="C52" s="11"/>
      <c r="D52" s="11"/>
      <c r="E52" s="11"/>
    </row>
    <row r="53" spans="3:5" ht="16.5" customHeight="1" x14ac:dyDescent="0.25">
      <c r="C53" s="11"/>
      <c r="D53" s="11"/>
      <c r="E53" s="11"/>
    </row>
    <row r="54" spans="3:5" ht="16.5" customHeight="1" x14ac:dyDescent="0.25">
      <c r="C54" s="11"/>
      <c r="D54" s="11"/>
      <c r="E54" s="11"/>
    </row>
    <row r="55" spans="3:5" ht="16.5" customHeight="1" x14ac:dyDescent="0.25">
      <c r="C55" s="11"/>
      <c r="D55" s="11"/>
      <c r="E55" s="11"/>
    </row>
    <row r="56" spans="3:5" ht="16.5" customHeight="1" x14ac:dyDescent="0.25">
      <c r="C56" s="11"/>
      <c r="D56" s="11"/>
      <c r="E56" s="11"/>
    </row>
    <row r="57" spans="3:5" ht="16.5" customHeight="1" x14ac:dyDescent="0.25">
      <c r="C57" s="11"/>
      <c r="D57" s="11"/>
      <c r="E57" s="11"/>
    </row>
    <row r="58" spans="3:5" ht="16.5" customHeight="1" x14ac:dyDescent="0.25">
      <c r="C58" s="11"/>
      <c r="D58" s="11"/>
      <c r="E58" s="11"/>
    </row>
    <row r="59" spans="3:5" ht="16.5" customHeight="1" x14ac:dyDescent="0.25">
      <c r="C59" s="11"/>
      <c r="D59" s="11"/>
      <c r="E59" s="11"/>
    </row>
  </sheetData>
  <mergeCells count="3">
    <mergeCell ref="C2:E2"/>
    <mergeCell ref="C3:E3"/>
    <mergeCell ref="C5:E5"/>
  </mergeCells>
  <dataValidations count="1">
    <dataValidation type="list" allowBlank="1" showErrorMessage="1" errorTitle="Categoria inválida" error="Escolha uma categoria da lista de apoio." sqref="D10:D59" xr:uid="{00000000-0002-0000-0400-000000000000}">
      <formula1>categorias_despesa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F37A3-B524-4883-9434-8EA8385C6A9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3"/>
  <sheetViews>
    <sheetView showGridLines="0" showRowColHeaders="0" zoomScaleNormal="100" workbookViewId="0"/>
  </sheetViews>
  <sheetFormatPr defaultColWidth="8.7109375" defaultRowHeight="15" x14ac:dyDescent="0.25"/>
  <cols>
    <col min="1" max="1" width="38" customWidth="1"/>
    <col min="2" max="2" width="2" customWidth="1"/>
    <col min="3" max="3" width="28" customWidth="1"/>
    <col min="4" max="4" width="2" customWidth="1"/>
    <col min="5" max="5" width="28" customWidth="1"/>
    <col min="6" max="6" width="2" customWidth="1"/>
    <col min="7" max="7" width="12" customWidth="1"/>
  </cols>
  <sheetData>
    <row r="1" spans="1:7" ht="15.75" x14ac:dyDescent="0.25">
      <c r="A1" s="12" t="s">
        <v>103</v>
      </c>
    </row>
    <row r="2" spans="1:7" x14ac:dyDescent="0.25">
      <c r="A2" s="7" t="s">
        <v>104</v>
      </c>
    </row>
    <row r="3" spans="1:7" x14ac:dyDescent="0.25">
      <c r="A3" s="13" t="s">
        <v>105</v>
      </c>
      <c r="C3" s="13" t="s">
        <v>106</v>
      </c>
      <c r="E3" s="13" t="s">
        <v>107</v>
      </c>
      <c r="G3" s="13" t="s">
        <v>108</v>
      </c>
    </row>
    <row r="4" spans="1:7" x14ac:dyDescent="0.25">
      <c r="A4" s="14" t="s">
        <v>109</v>
      </c>
      <c r="C4" s="14" t="s">
        <v>87</v>
      </c>
      <c r="E4" s="14" t="s">
        <v>102</v>
      </c>
      <c r="G4" s="14" t="s">
        <v>55</v>
      </c>
    </row>
    <row r="5" spans="1:7" x14ac:dyDescent="0.25">
      <c r="A5" s="14" t="s">
        <v>110</v>
      </c>
      <c r="C5" s="14" t="s">
        <v>111</v>
      </c>
      <c r="E5" s="14" t="s">
        <v>98</v>
      </c>
      <c r="G5" s="14" t="s">
        <v>57</v>
      </c>
    </row>
    <row r="6" spans="1:7" x14ac:dyDescent="0.25">
      <c r="A6" s="14" t="s">
        <v>112</v>
      </c>
      <c r="C6" s="14" t="s">
        <v>113</v>
      </c>
      <c r="E6" s="14" t="s">
        <v>100</v>
      </c>
    </row>
    <row r="7" spans="1:7" x14ac:dyDescent="0.25">
      <c r="A7" s="14" t="s">
        <v>114</v>
      </c>
      <c r="C7" s="14" t="s">
        <v>90</v>
      </c>
      <c r="E7" s="14" t="s">
        <v>115</v>
      </c>
    </row>
    <row r="8" spans="1:7" x14ac:dyDescent="0.25">
      <c r="A8" s="14" t="s">
        <v>116</v>
      </c>
      <c r="C8" s="14" t="s">
        <v>117</v>
      </c>
      <c r="E8" s="14" t="s">
        <v>118</v>
      </c>
    </row>
    <row r="9" spans="1:7" x14ac:dyDescent="0.25">
      <c r="A9" s="14" t="s">
        <v>119</v>
      </c>
      <c r="C9" s="14" t="s">
        <v>93</v>
      </c>
      <c r="E9" s="14" t="s">
        <v>120</v>
      </c>
    </row>
    <row r="10" spans="1:7" x14ac:dyDescent="0.25">
      <c r="A10" s="14" t="s">
        <v>121</v>
      </c>
      <c r="C10" s="14" t="s">
        <v>122</v>
      </c>
      <c r="E10" s="14" t="s">
        <v>123</v>
      </c>
    </row>
    <row r="11" spans="1:7" x14ac:dyDescent="0.25">
      <c r="A11" s="14" t="s">
        <v>124</v>
      </c>
      <c r="C11" s="14" t="s">
        <v>125</v>
      </c>
      <c r="E11" s="14" t="s">
        <v>126</v>
      </c>
    </row>
    <row r="12" spans="1:7" x14ac:dyDescent="0.25">
      <c r="A12" s="14" t="s">
        <v>127</v>
      </c>
      <c r="C12" s="14" t="s">
        <v>126</v>
      </c>
    </row>
    <row r="13" spans="1:7" x14ac:dyDescent="0.25">
      <c r="A13" s="14" t="s">
        <v>128</v>
      </c>
    </row>
    <row r="14" spans="1:7" x14ac:dyDescent="0.25">
      <c r="A14" s="14" t="s">
        <v>129</v>
      </c>
    </row>
    <row r="15" spans="1:7" x14ac:dyDescent="0.25">
      <c r="A15" s="14" t="s">
        <v>130</v>
      </c>
    </row>
    <row r="16" spans="1:7" x14ac:dyDescent="0.25">
      <c r="A16" s="14" t="s">
        <v>131</v>
      </c>
    </row>
    <row r="17" spans="1:1" x14ac:dyDescent="0.25">
      <c r="A17" s="14" t="s">
        <v>132</v>
      </c>
    </row>
    <row r="18" spans="1:1" x14ac:dyDescent="0.25">
      <c r="A18" s="14" t="s">
        <v>75</v>
      </c>
    </row>
    <row r="19" spans="1:1" x14ac:dyDescent="0.25">
      <c r="A19" s="14" t="s">
        <v>133</v>
      </c>
    </row>
    <row r="20" spans="1:1" x14ac:dyDescent="0.25">
      <c r="A20" s="14" t="s">
        <v>134</v>
      </c>
    </row>
    <row r="21" spans="1:1" x14ac:dyDescent="0.25">
      <c r="A21" s="14" t="s">
        <v>135</v>
      </c>
    </row>
    <row r="22" spans="1:1" x14ac:dyDescent="0.25">
      <c r="A22" s="14" t="s">
        <v>72</v>
      </c>
    </row>
    <row r="23" spans="1:1" x14ac:dyDescent="0.25">
      <c r="A23" s="14" t="s">
        <v>66</v>
      </c>
    </row>
    <row r="24" spans="1:1" x14ac:dyDescent="0.25">
      <c r="A24" s="14" t="s">
        <v>136</v>
      </c>
    </row>
    <row r="25" spans="1:1" x14ac:dyDescent="0.25">
      <c r="A25" s="14" t="s">
        <v>137</v>
      </c>
    </row>
    <row r="26" spans="1:1" x14ac:dyDescent="0.25">
      <c r="A26" s="14" t="s">
        <v>138</v>
      </c>
    </row>
    <row r="27" spans="1:1" x14ac:dyDescent="0.25">
      <c r="A27" s="14" t="s">
        <v>139</v>
      </c>
    </row>
    <row r="28" spans="1:1" x14ac:dyDescent="0.25">
      <c r="A28" s="14" t="s">
        <v>140</v>
      </c>
    </row>
    <row r="29" spans="1:1" x14ac:dyDescent="0.25">
      <c r="A29" s="14" t="s">
        <v>141</v>
      </c>
    </row>
    <row r="30" spans="1:1" x14ac:dyDescent="0.25">
      <c r="A30" s="14" t="s">
        <v>142</v>
      </c>
    </row>
    <row r="31" spans="1:1" x14ac:dyDescent="0.25">
      <c r="A31" s="14" t="s">
        <v>143</v>
      </c>
    </row>
    <row r="32" spans="1:1" x14ac:dyDescent="0.25">
      <c r="A32" s="14" t="s">
        <v>144</v>
      </c>
    </row>
    <row r="33" spans="1:1" x14ac:dyDescent="0.25">
      <c r="A33" s="14" t="s">
        <v>145</v>
      </c>
    </row>
    <row r="34" spans="1:1" x14ac:dyDescent="0.25">
      <c r="A34" s="14" t="s">
        <v>146</v>
      </c>
    </row>
    <row r="35" spans="1:1" x14ac:dyDescent="0.25">
      <c r="A35" s="14" t="s">
        <v>147</v>
      </c>
    </row>
    <row r="36" spans="1:1" x14ac:dyDescent="0.25">
      <c r="A36" s="14" t="s">
        <v>148</v>
      </c>
    </row>
    <row r="37" spans="1:1" x14ac:dyDescent="0.25">
      <c r="A37" s="14" t="s">
        <v>149</v>
      </c>
    </row>
    <row r="38" spans="1:1" x14ac:dyDescent="0.25">
      <c r="A38" s="14" t="s">
        <v>150</v>
      </c>
    </row>
    <row r="39" spans="1:1" x14ac:dyDescent="0.25">
      <c r="A39" s="14" t="s">
        <v>151</v>
      </c>
    </row>
    <row r="40" spans="1:1" x14ac:dyDescent="0.25">
      <c r="A40" s="14" t="s">
        <v>152</v>
      </c>
    </row>
    <row r="41" spans="1:1" x14ac:dyDescent="0.25">
      <c r="A41" s="14" t="s">
        <v>153</v>
      </c>
    </row>
    <row r="42" spans="1:1" x14ac:dyDescent="0.25">
      <c r="A42" s="14" t="s">
        <v>154</v>
      </c>
    </row>
    <row r="43" spans="1:1" x14ac:dyDescent="0.25">
      <c r="A43" s="14" t="s">
        <v>155</v>
      </c>
    </row>
    <row r="44" spans="1:1" x14ac:dyDescent="0.25">
      <c r="A44" s="14" t="s">
        <v>156</v>
      </c>
    </row>
    <row r="45" spans="1:1" x14ac:dyDescent="0.25">
      <c r="A45" s="14" t="s">
        <v>157</v>
      </c>
    </row>
    <row r="46" spans="1:1" x14ac:dyDescent="0.25">
      <c r="A46" s="14" t="s">
        <v>158</v>
      </c>
    </row>
    <row r="47" spans="1:1" x14ac:dyDescent="0.25">
      <c r="A47" s="14" t="s">
        <v>159</v>
      </c>
    </row>
    <row r="48" spans="1:1" x14ac:dyDescent="0.25">
      <c r="A48" s="14" t="s">
        <v>160</v>
      </c>
    </row>
    <row r="49" spans="1:1" x14ac:dyDescent="0.25">
      <c r="A49" s="14" t="s">
        <v>161</v>
      </c>
    </row>
    <row r="50" spans="1:1" x14ac:dyDescent="0.25">
      <c r="A50" s="14" t="s">
        <v>162</v>
      </c>
    </row>
    <row r="51" spans="1:1" x14ac:dyDescent="0.25">
      <c r="A51" s="14" t="s">
        <v>163</v>
      </c>
    </row>
    <row r="52" spans="1:1" x14ac:dyDescent="0.25">
      <c r="A52" s="14" t="s">
        <v>164</v>
      </c>
    </row>
    <row r="53" spans="1:1" x14ac:dyDescent="0.25">
      <c r="A53" s="14" t="s">
        <v>165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INICIO</vt:lpstr>
      <vt:lpstr>TITULAR</vt:lpstr>
      <vt:lpstr>INFORMES</vt:lpstr>
      <vt:lpstr>NOTAS</vt:lpstr>
      <vt:lpstr>DESPESAS</vt:lpstr>
      <vt:lpstr>Planilha1</vt:lpstr>
      <vt:lpstr>TABELAS</vt:lpstr>
      <vt:lpstr>bancos</vt:lpstr>
      <vt:lpstr>categorias_despesa</vt:lpstr>
      <vt:lpstr>categorias_rendimento</vt:lpstr>
      <vt:lpstr>sim_nao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2026-10-18T20:38:09Z</dcterms:created>
  <dcterms:modified xsi:type="dcterms:W3CDTF">2026-10-18T20:45:34Z</dcterms:modified>
  <dc:language>en-US</dc:language>
</cp:coreProperties>
</file>